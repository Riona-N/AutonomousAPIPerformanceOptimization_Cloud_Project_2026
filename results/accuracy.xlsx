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 model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3" fontId="2" fillId="0" borderId="0" pivotButton="0" quotePrefix="0" xfId="0"/>
    <xf numFmtId="3" fontId="3" fillId="0" borderId="0" pivotButton="0" quotePrefix="0" xfId="0"/>
    <xf numFmtId="10" fontId="2" fillId="0" borderId="0" pivotButton="0" quotePrefix="0" xfId="0"/>
    <xf numFmtId="165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9" customWidth="1" min="5" max="5"/>
    <col width="9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</cols>
  <sheetData>
    <row r="1">
      <c r="A1" s="1" t="inlineStr">
        <is>
          <t>Fraud-risk model: results per split (PaySim)</t>
        </is>
      </c>
    </row>
    <row r="2">
      <c r="A2" s="2" t="inlineStr">
        <is>
          <t>Decision threshold (chosen on the validation split to maximise F1)</t>
        </is>
      </c>
      <c r="E2" s="3" t="n">
        <v>0.8457574248313904</v>
      </c>
    </row>
    <row r="4" ht="30" customHeight="1">
      <c r="A4" s="4" t="inlineStr">
        <is>
          <t>Split</t>
        </is>
      </c>
      <c r="B4" s="4" t="inlineStr">
        <is>
          <t>Steps (hours)</t>
        </is>
      </c>
      <c r="C4" s="4" t="inlineStr">
        <is>
          <t>Transactions</t>
        </is>
      </c>
      <c r="D4" s="4" t="inlineStr">
        <is>
          <t>Fraud cases</t>
        </is>
      </c>
      <c r="E4" s="4" t="inlineStr">
        <is>
          <t>TP</t>
        </is>
      </c>
      <c r="F4" s="4" t="inlineStr">
        <is>
          <t>FP</t>
        </is>
      </c>
      <c r="G4" s="4" t="inlineStr">
        <is>
          <t>FN</t>
        </is>
      </c>
      <c r="H4" s="4" t="inlineStr">
        <is>
          <t>TN</t>
        </is>
      </c>
      <c r="I4" s="4" t="inlineStr">
        <is>
          <t>Accuracy</t>
        </is>
      </c>
      <c r="J4" s="4" t="inlineStr">
        <is>
          <t>Precision</t>
        </is>
      </c>
      <c r="K4" s="4" t="inlineStr">
        <is>
          <t>Recall</t>
        </is>
      </c>
      <c r="L4" s="4" t="inlineStr">
        <is>
          <t>F1</t>
        </is>
      </c>
      <c r="M4" s="4" t="inlineStr">
        <is>
          <t>ROC-AUC</t>
        </is>
      </c>
      <c r="N4" s="4" t="inlineStr">
        <is>
          <t>PR-AUC</t>
        </is>
      </c>
    </row>
    <row r="5">
      <c r="A5" s="2" t="inlineStr">
        <is>
          <t>train</t>
        </is>
      </c>
      <c r="B5" s="2" t="inlineStr">
        <is>
          <t>1-520</t>
        </is>
      </c>
      <c r="C5" s="5">
        <f>E5+F5+G5+H5</f>
        <v/>
      </c>
      <c r="D5" s="5">
        <f>E5+G5</f>
        <v/>
      </c>
      <c r="E5" s="6" t="n">
        <v>5738</v>
      </c>
      <c r="F5" s="6" t="n">
        <v>0</v>
      </c>
      <c r="G5" s="6" t="n">
        <v>43</v>
      </c>
      <c r="H5" s="6" t="n">
        <v>6076226</v>
      </c>
      <c r="I5" s="7">
        <f>IFERROR((E5+H5)/C5,0)</f>
        <v/>
      </c>
      <c r="J5" s="7">
        <f>IFERROR(E5/(E5+F5),0)</f>
        <v/>
      </c>
      <c r="K5" s="7">
        <f>IFERROR(E5/(E5+G5),0)</f>
        <v/>
      </c>
      <c r="L5" s="7">
        <f>IFERROR(2*J5*K5/(J5+K5),0)</f>
        <v/>
      </c>
      <c r="M5" s="8" t="n">
        <v>0.997</v>
      </c>
      <c r="N5" s="8" t="n">
        <v>0.9928</v>
      </c>
    </row>
    <row r="6">
      <c r="A6" s="2" t="inlineStr">
        <is>
          <t>val</t>
        </is>
      </c>
      <c r="B6" s="2" t="inlineStr">
        <is>
          <t>521-631</t>
        </is>
      </c>
      <c r="C6" s="5">
        <f>E6+F6+G6+H6</f>
        <v/>
      </c>
      <c r="D6" s="5">
        <f>E6+G6</f>
        <v/>
      </c>
      <c r="E6" s="6" t="n">
        <v>1174</v>
      </c>
      <c r="F6" s="6" t="n">
        <v>0</v>
      </c>
      <c r="G6" s="6" t="n">
        <v>6</v>
      </c>
      <c r="H6" s="6" t="n">
        <v>189967</v>
      </c>
      <c r="I6" s="7">
        <f>IFERROR((E6+H6)/C6,0)</f>
        <v/>
      </c>
      <c r="J6" s="7">
        <f>IFERROR(E6/(E6+F6),0)</f>
        <v/>
      </c>
      <c r="K6" s="7">
        <f>IFERROR(E6/(E6+G6),0)</f>
        <v/>
      </c>
      <c r="L6" s="7">
        <f>IFERROR(2*J6*K6/(J6+K6),0)</f>
        <v/>
      </c>
      <c r="M6" s="8" t="n">
        <v>0.9988</v>
      </c>
      <c r="N6" s="8" t="n">
        <v>0.995</v>
      </c>
    </row>
    <row r="7">
      <c r="A7" s="2" t="inlineStr">
        <is>
          <t>test</t>
        </is>
      </c>
      <c r="B7" s="2" t="inlineStr">
        <is>
          <t>632-743</t>
        </is>
      </c>
      <c r="C7" s="5">
        <f>E7+F7+G7+H7</f>
        <v/>
      </c>
      <c r="D7" s="5">
        <f>E7+G7</f>
        <v/>
      </c>
      <c r="E7" s="6" t="n">
        <v>1238</v>
      </c>
      <c r="F7" s="6" t="n">
        <v>0</v>
      </c>
      <c r="G7" s="6" t="n">
        <v>14</v>
      </c>
      <c r="H7" s="6" t="n">
        <v>88214</v>
      </c>
      <c r="I7" s="7">
        <f>IFERROR((E7+H7)/C7,0)</f>
        <v/>
      </c>
      <c r="J7" s="7">
        <f>IFERROR(E7/(E7+F7),0)</f>
        <v/>
      </c>
      <c r="K7" s="7">
        <f>IFERROR(E7/(E7+G7),0)</f>
        <v/>
      </c>
      <c r="L7" s="7">
        <f>IFERROR(2*J7*K7/(J7+K7),0)</f>
        <v/>
      </c>
      <c r="M7" s="8" t="n">
        <v>0.997</v>
      </c>
      <c r="N7" s="8" t="n">
        <v>0.9893999999999999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Notes and assumptions</t>
        </is>
      </c>
    </row>
    <row r="2">
      <c r="A2" s="10" t="inlineStr">
        <is>
          <t>Generated 2026-09-20 by src/ml_model/train.py (scikit-learn 1.9.1).</t>
        </is>
      </c>
    </row>
    <row r="3">
      <c r="A3" s="10" t="inlineStr">
        <is>
          <t>Data: PaySim synthetic mobile-money transactions (Kaggle ealaxi/paysim1), split by TIME: train = steps 1-520, validation = 521-631, test = 632-743.</t>
        </is>
      </c>
    </row>
    <row r="4">
      <c r="A4" s="10" t="inlineStr">
        <is>
          <t>Model: logistic regression with class_weight='balanced'. Features: transaction type, log(amount), origin-balance error flag, origin-account-emptied flag, merchant-destination flag.</t>
        </is>
      </c>
    </row>
    <row r="5">
      <c r="A5" s="10" t="inlineStr">
        <is>
          <t>Blue cells are values written by the training script (confusion-matrix counts, threshold). Black cells are formulas.</t>
        </is>
      </c>
    </row>
    <row r="6">
      <c r="A6" s="10" t="inlineStr">
        <is>
          <t>Accuracy is shown for completeness only: fraud is ~0.13% of transactions, so a model that never flags anything already scores ~99.87%. Read precision, recall, F1 and PR-AUC instead.</t>
        </is>
      </c>
    </row>
    <row r="7">
      <c r="A7" s="10" t="inlineStr">
        <is>
          <t>Caveat: PaySim fraud follows a simple simulated pattern (the origin account is emptied), so scores look near-perfect. Treat them as a check that the pipeline works, not as a claim about real-world fraud detection.</t>
        </is>
      </c>
    </row>
    <row r="8">
      <c r="A8" s="10" t="inlineStr">
        <is>
          <t>Purpose in the project: the model output (fraud_risk, 0 to 1) is a state feature and a reward term for the RL agent.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2026-09-20T05:58:39Z</dcterms:created>
  <dcterms:modified xsi:type="dcterms:W3CDTF">2026-09-20T05:58:39Z</dcterms:modified>
</cp:coreProperties>
</file>